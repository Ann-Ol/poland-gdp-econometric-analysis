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n/Downloads/Ekonometria_PKB/"/>
    </mc:Choice>
  </mc:AlternateContent>
  <xr:revisionPtr revIDLastSave="0" documentId="13_ncr:1_{C7C001E4-DB04-9441-85CA-043B4913C1A9}" xr6:coauthVersionLast="47" xr6:coauthVersionMax="47" xr10:uidLastSave="{00000000-0000-0000-0000-000000000000}"/>
  <bookViews>
    <workbookView xWindow="2360" yWindow="2340" windowWidth="27040" windowHeight="15400" xr2:uid="{6078F102-B0BF-314D-AAD5-EA584B1BC8A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29" i="1"/>
  <c r="K28" i="1"/>
  <c r="K27" i="1"/>
  <c r="K26" i="1"/>
  <c r="K25" i="1"/>
  <c r="K18" i="1"/>
  <c r="K17" i="1"/>
  <c r="K16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<sst xmlns="http://schemas.openxmlformats.org/spreadsheetml/2006/main" count="34" uniqueCount="28">
  <si>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</si>
  <si>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</si>
  <si>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</si>
  <si>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</si>
  <si>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</si>
  <si>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</si>
  <si>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</si>
  <si>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</si>
  <si>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</si>
  <si>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</si>
  <si>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Rok</t>
  </si>
  <si>
    <t>PKB</t>
  </si>
  <si>
    <t>spożycie prywatne</t>
  </si>
  <si>
    <t>kurs walutowy USD/PLN</t>
  </si>
  <si>
    <t>import towarów i usług</t>
  </si>
  <si>
    <t>eksport towarów i usług</t>
  </si>
  <si>
    <t>Roczne wynagrodzenie brutto</t>
  </si>
  <si>
    <t xml:space="preserve">wskaźniki cen towarów usług konsumpcyjnych </t>
  </si>
  <si>
    <t>stopa bezrobocia</t>
  </si>
  <si>
    <t>akumulacja brutto</t>
  </si>
  <si>
    <t>stopy procentowe (referencyjne)</t>
  </si>
  <si>
    <t xml:space="preserve">mln zł </t>
  </si>
  <si>
    <t>zł za 1 USD</t>
  </si>
  <si>
    <t>zł</t>
  </si>
  <si>
    <t>%</t>
  </si>
  <si>
    <t>x10</t>
  </si>
  <si>
    <t>spożycie publiczne</t>
  </si>
  <si>
    <t>mln 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</si>
</sst>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>
    <font>
      <sz val="12"/>
      <color theme="1"/>
      <name val="Aptos Narrow"/>
      <family val="2"/>
      <charset val="238"/>
      <scheme val="minor"/>
    </font>
    <font>
      <sz val="10"/>
      <color rgb="FF000000"/>
      <name val="Helvetica Neue"/>
      <family val="2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7" borderId="0" xfId="0" applyFill="1"/>
    <xf numFmtId="0" fontId="0" fillId="8" borderId="0" xfId="0" applyFill="1"/>
    <xf numFmtId="0" fontId="0" fillId="9" borderId="0" xfId="0" applyFill="1"/>
    <xf numFmtId="164" fontId="1" fillId="9" borderId="0" xfId="0" applyNumberFormat="1" applyFont="1" applyFill="1" applyAlignment="1">
      <alignment horizontal="right"/>
    </xf>
    <xf numFmtId="4" fontId="0" fillId="9" borderId="0" xfId="0" applyNumberFormat="1" applyFill="1"/>
    <xf numFmtId="165" fontId="0" fillId="9" borderId="0" xfId="0" applyNumberFormat="1" applyFill="1" applyAlignment="1">
      <alignment horizontal="right" vertical="center" wrapText="1"/>
    </xf>
    <xf numFmtId="2" fontId="0" fillId="9" borderId="0" xfId="0" applyNumberFormat="1" applyFill="1"/>
    <xf numFmtId="0" fontId="0" fillId="9" borderId="0" xfId="0" applyFill="1" applyAlignment="1">
      <alignment horizontal="right"/>
    </xf>
    <xf numFmtId="0" fontId="0" fillId="0" borderId="0" xfId="0" applyAlignment="1">
      <alignment horizontal="right"/>
    </xf>
    <xf numFmtId="0" fontId="0" fillId="10" borderId="0" xfId="0" applyFill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2">
    <cellStyle name="Normal" xfId="1" xr:uid="{BABEC750-457A-AF44-B8A2-3CEED6A4EF72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pi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0086-2A51-F841-9FA8-BA2AADDF34FF}">
  <dimension ref="A1:L31"/>
  <sheetViews>
    <sheetView tabSelected="1" workbookViewId="0">
      <selection activeCell="E2" sqref="E2"/>
    </sheetView>
  </sheetViews>
  <sheetFormatPr baseColWidth="10" defaultRowHeight="16"/>
  <cols>
    <col min="1" max="1" width="5.1640625" bestFit="1" customWidth="1"/>
    <col min="2" max="2" width="8.1640625" bestFit="1" customWidth="1"/>
    <col min="3" max="3" width="15.83203125" bestFit="1" customWidth="1"/>
    <col min="4" max="4" width="20.33203125" bestFit="1" customWidth="1"/>
    <col min="5" max="5" width="19.33203125" bestFit="1" customWidth="1"/>
    <col min="6" max="6" width="20" bestFit="1" customWidth="1"/>
    <col min="7" max="7" width="25.1640625" bestFit="1" customWidth="1"/>
    <col min="8" max="8" width="39.1640625" bestFit="1" customWidth="1"/>
    <col min="9" max="9" width="15" bestFit="1" customWidth="1"/>
    <col min="10" max="10" width="15.83203125" bestFit="1" customWidth="1"/>
    <col min="12" max="12" width="16.33203125" bestFit="1" customWidth="1"/>
  </cols>
  <sheetData>
    <row r="1" spans="1:12">
      <c r="A1" s="1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25</v>
      </c>
    </row>
    <row r="2" spans="1:12" ht="68">
      <c r="A2" s="14" t="s">
        <v>10</v>
      </c>
      <c r="B2" s="15" t="s">
        <v>11</v>
      </c>
      <c r="C2" s="16" t="s">
        <v>12</v>
      </c>
      <c r="D2" s="16" t="s">
        <v>13</v>
      </c>
      <c r="E2" s="16" t="s">
        <v>14</v>
      </c>
      <c r="F2" s="16" t="s">
        <v>15</v>
      </c>
      <c r="G2" s="16" t="s">
        <v>16</v>
      </c>
      <c r="H2" s="16" t="s">
        <v>17</v>
      </c>
      <c r="I2" s="16" t="s">
        <v>18</v>
      </c>
      <c r="J2" s="16" t="s">
        <v>19</v>
      </c>
      <c r="K2" s="17" t="s">
        <v>20</v>
      </c>
      <c r="L2" s="16" t="s">
        <v>26</v>
      </c>
    </row>
    <row r="3" spans="1:12">
      <c r="A3" s="1">
        <v>1998</v>
      </c>
      <c r="B3" s="2">
        <v>609176</v>
      </c>
      <c r="C3" s="3">
        <v>377483</v>
      </c>
      <c r="D3" s="4">
        <v>3.5049999999999999</v>
      </c>
      <c r="E3" s="3">
        <v>186930</v>
      </c>
      <c r="F3" s="3">
        <v>157535</v>
      </c>
      <c r="G3" s="5">
        <v>14873.88</v>
      </c>
      <c r="H3" s="6">
        <v>111.8</v>
      </c>
      <c r="I3" s="3">
        <v>10.7</v>
      </c>
      <c r="J3" s="3">
        <v>153623</v>
      </c>
      <c r="K3" s="7">
        <f>AVERAGE(24,23,21.5,19,18,17,15.5)</f>
        <v>19.714285714285715</v>
      </c>
      <c r="L3" s="10">
        <v>107464.73815999999</v>
      </c>
    </row>
    <row r="4" spans="1:12">
      <c r="A4" s="1">
        <v>1999</v>
      </c>
      <c r="B4" s="2">
        <v>677203</v>
      </c>
      <c r="C4" s="3">
        <v>423915</v>
      </c>
      <c r="D4" s="4">
        <v>4.13</v>
      </c>
      <c r="E4" s="3">
        <v>202492</v>
      </c>
      <c r="F4" s="3">
        <v>162507</v>
      </c>
      <c r="G4" s="5">
        <v>20480.88</v>
      </c>
      <c r="H4" s="6">
        <v>107.3</v>
      </c>
      <c r="I4" s="3">
        <v>11.4</v>
      </c>
      <c r="J4" s="3">
        <v>172688</v>
      </c>
      <c r="K4" s="7">
        <f>AVERAGE(13,14,16.5)</f>
        <v>14.5</v>
      </c>
      <c r="L4" s="10">
        <v>120584.79778899999</v>
      </c>
    </row>
    <row r="5" spans="1:12">
      <c r="A5" s="1">
        <v>2000</v>
      </c>
      <c r="B5" s="2">
        <v>751669</v>
      </c>
      <c r="C5" s="3">
        <v>479391</v>
      </c>
      <c r="D5" s="4">
        <v>4.1280000000000001</v>
      </c>
      <c r="E5" s="3">
        <v>252091</v>
      </c>
      <c r="F5" s="3">
        <v>203501</v>
      </c>
      <c r="G5" s="5">
        <v>23085.72</v>
      </c>
      <c r="H5" s="6">
        <v>110.1</v>
      </c>
      <c r="I5" s="3">
        <v>13.7</v>
      </c>
      <c r="J5" s="3">
        <v>185662</v>
      </c>
      <c r="K5" s="7">
        <f>AVERAGE(17.5,19)</f>
        <v>18.25</v>
      </c>
      <c r="L5" s="10">
        <v>135205.70970600002</v>
      </c>
    </row>
    <row r="6" spans="1:12">
      <c r="A6" s="1">
        <v>2001</v>
      </c>
      <c r="B6" s="2">
        <v>785305</v>
      </c>
      <c r="C6" s="3">
        <v>507084</v>
      </c>
      <c r="D6" s="4">
        <v>3.9622999999999999</v>
      </c>
      <c r="E6" s="3">
        <v>242041</v>
      </c>
      <c r="F6" s="3">
        <v>212482</v>
      </c>
      <c r="G6" s="5">
        <v>24742.2</v>
      </c>
      <c r="H6" s="6">
        <v>105.5</v>
      </c>
      <c r="I6" s="3">
        <v>15.7</v>
      </c>
      <c r="J6" s="3">
        <v>162094</v>
      </c>
      <c r="K6" s="7">
        <f>AVERAGE(18,17,15.6,14.5,13,11.5)</f>
        <v>14.933333333333332</v>
      </c>
      <c r="L6" s="10">
        <v>145685.85707500001</v>
      </c>
    </row>
    <row r="7" spans="1:12">
      <c r="A7" s="1">
        <v>2002</v>
      </c>
      <c r="B7" s="2">
        <v>814760</v>
      </c>
      <c r="C7" s="3">
        <v>541344</v>
      </c>
      <c r="D7" s="4">
        <v>3.8279999999999998</v>
      </c>
      <c r="E7" s="3">
        <v>262136</v>
      </c>
      <c r="F7" s="3">
        <v>233212</v>
      </c>
      <c r="G7" s="5">
        <v>25598.52</v>
      </c>
      <c r="H7" s="6">
        <v>101.9</v>
      </c>
      <c r="I7" s="3">
        <v>18.100000000000001</v>
      </c>
      <c r="J7" s="3">
        <v>151093</v>
      </c>
      <c r="K7" s="7">
        <f>AVERAGE(10,9.5,9,8.5,8,7.5,7,6.75)</f>
        <v>8.28125</v>
      </c>
      <c r="L7" s="10">
        <v>151247.15784000003</v>
      </c>
    </row>
    <row r="8" spans="1:12">
      <c r="A8" s="1">
        <v>2003</v>
      </c>
      <c r="B8" s="2">
        <v>850001</v>
      </c>
      <c r="C8" s="3">
        <v>552329</v>
      </c>
      <c r="D8" s="4">
        <v>3.7252999999999998</v>
      </c>
      <c r="E8" s="3">
        <v>305786</v>
      </c>
      <c r="F8" s="3">
        <v>282529</v>
      </c>
      <c r="G8" s="5">
        <v>26417.64</v>
      </c>
      <c r="H8" s="6">
        <v>100.8</v>
      </c>
      <c r="I8" s="3">
        <v>20.6</v>
      </c>
      <c r="J8" s="3">
        <v>160745</v>
      </c>
      <c r="K8" s="7">
        <f>AVERAGE(6.5,6.25,6,5.75,5.5,5.25,5.25)</f>
        <v>5.7857142857142856</v>
      </c>
      <c r="L8" s="10">
        <v>160184.38845199998</v>
      </c>
    </row>
    <row r="9" spans="1:12">
      <c r="A9" s="1">
        <v>2004</v>
      </c>
      <c r="B9" s="2">
        <v>937339</v>
      </c>
      <c r="C9" s="3">
        <v>601151</v>
      </c>
      <c r="D9" s="4">
        <v>2.9994000000000001</v>
      </c>
      <c r="E9" s="3">
        <v>346060</v>
      </c>
      <c r="F9" s="3">
        <v>319278</v>
      </c>
      <c r="G9" s="5">
        <v>27474.84</v>
      </c>
      <c r="H9" s="6">
        <v>103.5</v>
      </c>
      <c r="I9" s="3">
        <v>20.6</v>
      </c>
      <c r="J9" s="3">
        <v>192052</v>
      </c>
      <c r="K9" s="7">
        <f>AVERAGE(5.75,6,6.5)</f>
        <v>6.083333333333333</v>
      </c>
      <c r="L9" s="10">
        <v>170918.142616</v>
      </c>
    </row>
    <row r="10" spans="1:12">
      <c r="A10" s="1">
        <v>2005</v>
      </c>
      <c r="B10" s="2">
        <v>993293</v>
      </c>
      <c r="C10" s="3">
        <v>624474</v>
      </c>
      <c r="D10" s="4">
        <v>3.2446999999999999</v>
      </c>
      <c r="E10" s="3">
        <v>355460</v>
      </c>
      <c r="F10" s="3">
        <v>342939</v>
      </c>
      <c r="G10" s="5">
        <v>28563.48</v>
      </c>
      <c r="H10" s="6">
        <v>102.1</v>
      </c>
      <c r="I10" s="3">
        <v>18</v>
      </c>
      <c r="J10" s="3">
        <v>199725</v>
      </c>
      <c r="K10" s="7">
        <f>AVERAGE(6,5.5,5,4.75,4.5,4.5)</f>
        <v>5.041666666666667</v>
      </c>
      <c r="L10" s="10">
        <v>181614.685413</v>
      </c>
    </row>
    <row r="11" spans="1:12">
      <c r="A11" s="1">
        <v>2006</v>
      </c>
      <c r="B11" s="2">
        <v>1073375</v>
      </c>
      <c r="C11" s="3">
        <v>665034</v>
      </c>
      <c r="D11" s="4">
        <v>2.9018000000000002</v>
      </c>
      <c r="E11" s="3">
        <v>429809</v>
      </c>
      <c r="F11" s="3">
        <v>404212</v>
      </c>
      <c r="G11" s="5">
        <v>29726.76</v>
      </c>
      <c r="H11" s="6">
        <v>101</v>
      </c>
      <c r="I11" s="3">
        <v>15.1</v>
      </c>
      <c r="J11" s="3">
        <v>235672</v>
      </c>
      <c r="K11" s="7">
        <f>AVERAGE(4.25,4)</f>
        <v>4.125</v>
      </c>
      <c r="L11" s="10">
        <v>198266.31637499999</v>
      </c>
    </row>
    <row r="12" spans="1:12">
      <c r="A12" s="1">
        <v>2007</v>
      </c>
      <c r="B12" s="2">
        <v>1189430</v>
      </c>
      <c r="C12" s="3">
        <v>716249</v>
      </c>
      <c r="D12" s="4">
        <v>2.4464999999999999</v>
      </c>
      <c r="E12" s="3">
        <v>502823</v>
      </c>
      <c r="F12" s="3">
        <v>457587</v>
      </c>
      <c r="G12" s="5">
        <v>32292.36</v>
      </c>
      <c r="H12" s="6">
        <v>102.5</v>
      </c>
      <c r="I12" s="3">
        <v>11.5</v>
      </c>
      <c r="J12" s="3">
        <v>302337</v>
      </c>
      <c r="K12" s="7">
        <f>AVERAGE(4.25,4.5,4.75,5)</f>
        <v>4.625</v>
      </c>
      <c r="L12" s="10">
        <v>216080.17981</v>
      </c>
    </row>
    <row r="13" spans="1:12">
      <c r="A13" s="1">
        <v>2008</v>
      </c>
      <c r="B13" s="2">
        <v>1290419</v>
      </c>
      <c r="C13" s="3">
        <v>798185</v>
      </c>
      <c r="D13" s="4">
        <v>2.9382999999999999</v>
      </c>
      <c r="E13" s="3">
        <v>553666</v>
      </c>
      <c r="F13" s="3">
        <v>486085</v>
      </c>
      <c r="G13" s="5">
        <v>35326.559999999998</v>
      </c>
      <c r="H13" s="6">
        <v>104.2</v>
      </c>
      <c r="I13" s="3">
        <v>10.4</v>
      </c>
      <c r="J13" s="3">
        <v>319458</v>
      </c>
      <c r="K13" s="7">
        <f>AVERAGE(5.25,5.5,5.75,6,5.75,6,5.75,5)</f>
        <v>5.625</v>
      </c>
      <c r="L13" s="10">
        <v>240357.314197</v>
      </c>
    </row>
    <row r="14" spans="1:12">
      <c r="A14" s="1">
        <v>2009</v>
      </c>
      <c r="B14" s="2">
        <v>1375644</v>
      </c>
      <c r="C14" s="3">
        <v>845950</v>
      </c>
      <c r="D14" s="4">
        <v>2.8601999999999999</v>
      </c>
      <c r="E14" s="3">
        <v>522257</v>
      </c>
      <c r="F14" s="3">
        <v>509044</v>
      </c>
      <c r="G14" s="5">
        <v>37235.519999999997</v>
      </c>
      <c r="H14" s="6">
        <v>103.5</v>
      </c>
      <c r="I14" s="3">
        <v>12.9</v>
      </c>
      <c r="J14" s="3">
        <v>285555</v>
      </c>
      <c r="K14" s="7">
        <f>AVERAGE(4.25,4,3.75,3.5,3.5)</f>
        <v>3.8</v>
      </c>
      <c r="L14" s="10">
        <v>257351.35258800001</v>
      </c>
    </row>
    <row r="15" spans="1:12">
      <c r="A15" s="1">
        <v>2010</v>
      </c>
      <c r="B15" s="2">
        <v>1441650</v>
      </c>
      <c r="C15" s="3">
        <v>900073</v>
      </c>
      <c r="D15" s="4">
        <v>2.9579</v>
      </c>
      <c r="E15" s="3">
        <v>610303</v>
      </c>
      <c r="F15" s="3">
        <v>575106</v>
      </c>
      <c r="G15" s="5">
        <v>38699.760000000002</v>
      </c>
      <c r="H15" s="6">
        <v>102.6</v>
      </c>
      <c r="I15" s="3">
        <v>13.1</v>
      </c>
      <c r="J15" s="3">
        <v>300709</v>
      </c>
      <c r="K15" s="7">
        <v>3.5</v>
      </c>
      <c r="L15" s="10">
        <v>276064.44179999997</v>
      </c>
    </row>
    <row r="16" spans="1:12">
      <c r="A16" s="1">
        <v>2011</v>
      </c>
      <c r="B16" s="2">
        <v>1563935</v>
      </c>
      <c r="C16" s="3">
        <v>967519</v>
      </c>
      <c r="D16" s="4">
        <v>3.4443000000000001</v>
      </c>
      <c r="E16" s="3">
        <v>697601</v>
      </c>
      <c r="F16" s="3">
        <v>661829</v>
      </c>
      <c r="G16" s="5">
        <v>40794.239999999998</v>
      </c>
      <c r="H16" s="6">
        <v>104.3</v>
      </c>
      <c r="I16" s="3">
        <v>13.2</v>
      </c>
      <c r="J16" s="3">
        <v>349462</v>
      </c>
      <c r="K16" s="7">
        <f>AVERAGE(3.75,4,4.25,4.5)</f>
        <v>4.125</v>
      </c>
      <c r="L16" s="10">
        <v>282726.60536499997</v>
      </c>
    </row>
    <row r="17" spans="1:12">
      <c r="A17" s="1">
        <v>2012</v>
      </c>
      <c r="B17" s="2">
        <v>1622242</v>
      </c>
      <c r="C17" s="3">
        <v>1005360</v>
      </c>
      <c r="D17" s="4">
        <v>3.0935000000000001</v>
      </c>
      <c r="E17" s="3">
        <v>726878</v>
      </c>
      <c r="F17" s="3">
        <v>714158</v>
      </c>
      <c r="G17" s="5">
        <v>42260.04</v>
      </c>
      <c r="H17" s="6">
        <v>103.7</v>
      </c>
      <c r="I17" s="3">
        <v>14.2</v>
      </c>
      <c r="J17" s="3">
        <v>337458</v>
      </c>
      <c r="K17" s="7">
        <f>AVERAGE(4.75,4.5,4.25)</f>
        <v>4.5</v>
      </c>
      <c r="L17" s="10">
        <v>292144.69505400001</v>
      </c>
    </row>
    <row r="18" spans="1:12">
      <c r="A18" s="1">
        <v>2013</v>
      </c>
      <c r="B18" s="2">
        <v>1637768</v>
      </c>
      <c r="C18" s="3">
        <v>1005984</v>
      </c>
      <c r="D18" s="4">
        <v>3.0179999999999998</v>
      </c>
      <c r="E18" s="3">
        <v>731267</v>
      </c>
      <c r="F18" s="3">
        <v>749562</v>
      </c>
      <c r="G18" s="5">
        <v>43800.72</v>
      </c>
      <c r="H18" s="6">
        <v>100.9</v>
      </c>
      <c r="I18" s="3">
        <v>13.9</v>
      </c>
      <c r="J18" s="3">
        <v>313273</v>
      </c>
      <c r="K18" s="7">
        <f>AVERAGE(4,3.75,3.25,3,2.75,2.5)</f>
        <v>3.2083333333333335</v>
      </c>
      <c r="L18" s="10">
        <v>300215.97654399998</v>
      </c>
    </row>
    <row r="19" spans="1:12">
      <c r="A19" s="1">
        <v>2014</v>
      </c>
      <c r="B19" s="2">
        <v>1710185</v>
      </c>
      <c r="C19" s="3">
        <v>1035130</v>
      </c>
      <c r="D19" s="4">
        <v>3.5411999999999999</v>
      </c>
      <c r="E19" s="3">
        <v>783493</v>
      </c>
      <c r="F19" s="3">
        <v>790459</v>
      </c>
      <c r="G19" s="5">
        <v>45401.52</v>
      </c>
      <c r="H19" s="6">
        <v>100</v>
      </c>
      <c r="I19" s="3">
        <v>11.9</v>
      </c>
      <c r="J19" s="3">
        <v>356185</v>
      </c>
      <c r="K19" s="7">
        <v>2</v>
      </c>
      <c r="L19" s="10">
        <v>311903.54029999999</v>
      </c>
    </row>
    <row r="20" spans="1:12">
      <c r="A20" s="1">
        <v>2015</v>
      </c>
      <c r="B20" s="2">
        <v>1809564</v>
      </c>
      <c r="C20" s="3">
        <v>1071722</v>
      </c>
      <c r="D20" s="4">
        <v>3.9255499999999999</v>
      </c>
      <c r="E20" s="3">
        <v>816001</v>
      </c>
      <c r="F20" s="3">
        <v>853420</v>
      </c>
      <c r="G20" s="5">
        <v>46797.36</v>
      </c>
      <c r="H20" s="6">
        <v>99.1</v>
      </c>
      <c r="I20" s="3">
        <v>10.199999999999999</v>
      </c>
      <c r="J20" s="3">
        <v>376420</v>
      </c>
      <c r="K20" s="7">
        <v>1.5</v>
      </c>
      <c r="L20" s="10">
        <v>324002.43420000002</v>
      </c>
    </row>
    <row r="21" spans="1:12">
      <c r="A21" s="1">
        <v>2016</v>
      </c>
      <c r="B21" s="2">
        <v>1865960</v>
      </c>
      <c r="C21" s="3">
        <v>1103607</v>
      </c>
      <c r="D21" s="4">
        <v>4.1854699999999996</v>
      </c>
      <c r="E21" s="3">
        <v>876245</v>
      </c>
      <c r="F21" s="3">
        <v>931234</v>
      </c>
      <c r="G21" s="5">
        <v>48566.52</v>
      </c>
      <c r="H21" s="6">
        <v>99.4</v>
      </c>
      <c r="I21" s="3">
        <v>10.199999999999999</v>
      </c>
      <c r="J21" s="3">
        <v>374821</v>
      </c>
      <c r="K21" s="7">
        <v>1.5</v>
      </c>
      <c r="L21" s="10">
        <v>332543.92736000003</v>
      </c>
    </row>
    <row r="22" spans="1:12">
      <c r="A22" s="1">
        <v>2017</v>
      </c>
      <c r="B22" s="2">
        <v>1996836</v>
      </c>
      <c r="C22" s="3">
        <v>1192228</v>
      </c>
      <c r="D22" s="4">
        <v>3.4803500000000001</v>
      </c>
      <c r="E22" s="3">
        <v>975921</v>
      </c>
      <c r="F22" s="3">
        <v>1032215</v>
      </c>
      <c r="G22" s="5">
        <v>51258.12</v>
      </c>
      <c r="H22" s="6">
        <v>102</v>
      </c>
      <c r="I22" s="3">
        <v>8.5</v>
      </c>
      <c r="J22" s="3">
        <v>397533</v>
      </c>
      <c r="K22" s="7">
        <v>1.5</v>
      </c>
      <c r="L22" s="10">
        <v>350780.18644800002</v>
      </c>
    </row>
    <row r="23" spans="1:12">
      <c r="A23" s="1">
        <v>2018</v>
      </c>
      <c r="B23" s="2">
        <v>2147587</v>
      </c>
      <c r="C23" s="3">
        <v>1268446</v>
      </c>
      <c r="D23" s="4">
        <v>3.74105</v>
      </c>
      <c r="E23" s="3">
        <v>1078301</v>
      </c>
      <c r="F23" s="3">
        <v>1121740</v>
      </c>
      <c r="G23" s="5">
        <v>55020.36</v>
      </c>
      <c r="H23" s="6">
        <v>101.6</v>
      </c>
      <c r="I23" s="3">
        <v>6.8</v>
      </c>
      <c r="J23" s="3">
        <v>460526</v>
      </c>
      <c r="K23" s="7">
        <v>1.5</v>
      </c>
      <c r="L23" s="10">
        <v>375177.006139</v>
      </c>
    </row>
    <row r="24" spans="1:12">
      <c r="A24" s="1">
        <v>2019</v>
      </c>
      <c r="B24" s="2">
        <v>2313929</v>
      </c>
      <c r="C24" s="3">
        <v>1338128</v>
      </c>
      <c r="D24" s="4">
        <v>3.7938000000000001</v>
      </c>
      <c r="E24" s="3">
        <v>1133088</v>
      </c>
      <c r="F24" s="3">
        <v>1217425</v>
      </c>
      <c r="G24" s="5">
        <v>59018.04</v>
      </c>
      <c r="H24" s="6">
        <v>102.3</v>
      </c>
      <c r="I24" s="3">
        <v>6.1</v>
      </c>
      <c r="J24" s="3">
        <v>479161</v>
      </c>
      <c r="K24" s="7">
        <v>1.5</v>
      </c>
      <c r="L24" s="10">
        <v>412302.81100699998</v>
      </c>
    </row>
    <row r="25" spans="1:12">
      <c r="A25" s="1">
        <v>2020</v>
      </c>
      <c r="B25" s="2">
        <v>2362909</v>
      </c>
      <c r="C25" s="3">
        <v>1340118</v>
      </c>
      <c r="D25" s="4">
        <v>3.7345999999999999</v>
      </c>
      <c r="E25" s="3">
        <v>1106437</v>
      </c>
      <c r="F25" s="3">
        <v>1238965</v>
      </c>
      <c r="G25" s="5">
        <v>62009.64</v>
      </c>
      <c r="H25" s="6">
        <v>103.4</v>
      </c>
      <c r="I25" s="3">
        <v>5.5</v>
      </c>
      <c r="J25" s="3">
        <v>445158</v>
      </c>
      <c r="K25" s="7">
        <f>AVERAGE(1,0.5,0.1)</f>
        <v>0.53333333333333333</v>
      </c>
      <c r="L25" s="10">
        <v>445105.89414799993</v>
      </c>
    </row>
    <row r="26" spans="1:12">
      <c r="A26" s="1">
        <v>2021</v>
      </c>
      <c r="B26" s="2">
        <v>2661518</v>
      </c>
      <c r="C26" s="3">
        <v>1502813</v>
      </c>
      <c r="D26" s="4">
        <v>4.0340999999999996</v>
      </c>
      <c r="E26" s="3">
        <v>1432863</v>
      </c>
      <c r="F26" s="3">
        <v>1518076</v>
      </c>
      <c r="G26" s="5">
        <v>67950.36</v>
      </c>
      <c r="H26" s="8">
        <v>105.1</v>
      </c>
      <c r="I26" s="3">
        <v>6.5</v>
      </c>
      <c r="J26" s="3">
        <v>580495</v>
      </c>
      <c r="K26" s="7">
        <f>AVERAGE(0.5,1.25,1.75,1.75)</f>
        <v>1.3125</v>
      </c>
      <c r="L26" s="10">
        <v>492998.30217599997</v>
      </c>
    </row>
    <row r="27" spans="1:12">
      <c r="A27" s="1">
        <v>2022</v>
      </c>
      <c r="B27" s="2">
        <v>3100850</v>
      </c>
      <c r="C27" s="3">
        <v>1802763</v>
      </c>
      <c r="D27" s="4">
        <v>4.3803099999999997</v>
      </c>
      <c r="E27" s="3">
        <v>1881249</v>
      </c>
      <c r="F27" s="3">
        <v>1933458</v>
      </c>
      <c r="G27" s="5">
        <v>76153.8</v>
      </c>
      <c r="H27" s="8">
        <v>114.4</v>
      </c>
      <c r="I27" s="3">
        <v>5.9</v>
      </c>
      <c r="J27" s="3">
        <v>684031</v>
      </c>
      <c r="K27" s="7">
        <f>AVERAGE(2.25,2.75,3.5,4.5,5.25,6,6.5,6.75)</f>
        <v>4.6875</v>
      </c>
      <c r="L27" s="10">
        <v>561849.2132</v>
      </c>
    </row>
    <row r="28" spans="1:12">
      <c r="A28" s="1">
        <v>2023</v>
      </c>
      <c r="B28" s="2">
        <v>3415274</v>
      </c>
      <c r="C28" s="3">
        <v>1968759</v>
      </c>
      <c r="D28" s="4">
        <v>3.9341699999999999</v>
      </c>
      <c r="E28" s="3">
        <v>1780849</v>
      </c>
      <c r="F28" s="3">
        <v>1976804</v>
      </c>
      <c r="G28" s="5">
        <v>86390</v>
      </c>
      <c r="H28" s="8">
        <v>111.4</v>
      </c>
      <c r="I28" s="3">
        <v>5.5</v>
      </c>
      <c r="J28" s="3">
        <v>603426</v>
      </c>
      <c r="K28" s="7">
        <f>AVERAGE(6,5.75)</f>
        <v>5.875</v>
      </c>
      <c r="L28" s="10">
        <v>647132.94806800003</v>
      </c>
    </row>
    <row r="29" spans="1:12">
      <c r="A29" s="1">
        <v>2024</v>
      </c>
      <c r="B29" s="2">
        <v>3669531</v>
      </c>
      <c r="C29" s="3">
        <v>2095018</v>
      </c>
      <c r="D29" s="4">
        <v>4.1299299999999999</v>
      </c>
      <c r="E29" s="3">
        <v>1761942</v>
      </c>
      <c r="F29" s="3">
        <v>1906945</v>
      </c>
      <c r="G29" s="5">
        <v>97890.84</v>
      </c>
      <c r="H29" s="8">
        <v>103.6</v>
      </c>
      <c r="I29" s="3">
        <v>5.4</v>
      </c>
      <c r="J29" s="3">
        <v>668865</v>
      </c>
      <c r="K29" s="7">
        <f>AVERAGE(6,5.75)</f>
        <v>5.875</v>
      </c>
      <c r="L29" s="10">
        <v>760646.07239700004</v>
      </c>
    </row>
    <row r="30" spans="1:12">
      <c r="A30" s="1">
        <v>2025</v>
      </c>
      <c r="B30" s="2">
        <v>3912673</v>
      </c>
      <c r="C30" s="3">
        <v>2255998</v>
      </c>
      <c r="D30" s="4">
        <v>3.5898599999999998</v>
      </c>
      <c r="E30" s="3">
        <v>1847198</v>
      </c>
      <c r="F30" s="3">
        <v>1956850</v>
      </c>
      <c r="G30" s="5">
        <v>106800</v>
      </c>
      <c r="H30" s="8">
        <v>103.6</v>
      </c>
      <c r="I30" s="3">
        <v>5.4</v>
      </c>
      <c r="J30" s="3">
        <v>713156</v>
      </c>
      <c r="K30" s="7">
        <f>AVERAGE(5.25,5,4.75,4.5,4.25,4)</f>
        <v>4.625</v>
      </c>
      <c r="L30" s="10">
        <v>833868.86976000015</v>
      </c>
    </row>
    <row r="31" spans="1:12">
      <c r="B31" s="9" t="s">
        <v>21</v>
      </c>
      <c r="C31" s="9" t="s">
        <v>21</v>
      </c>
      <c r="D31" s="9" t="s">
        <v>22</v>
      </c>
      <c r="E31" s="9" t="s">
        <v>21</v>
      </c>
      <c r="F31" s="9" t="s">
        <v>21</v>
      </c>
      <c r="G31" s="9" t="s">
        <v>23</v>
      </c>
      <c r="H31" s="9" t="s">
        <v>24</v>
      </c>
      <c r="I31" s="9" t="s">
        <v>24</v>
      </c>
      <c r="J31" s="9" t="s">
        <v>21</v>
      </c>
      <c r="K31" s="9" t="s">
        <v>24</v>
      </c>
      <c r="L31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Oleszko</dc:creator>
  <cp:lastModifiedBy>Anna Oleszko</cp:lastModifiedBy>
  <dcterms:created xsi:type="dcterms:W3CDTF">2026-06-08T00:50:25Z</dcterms:created>
  <dcterms:modified xsi:type="dcterms:W3CDTF">2026-06-08T02:16:43Z</dcterms:modified>
</cp:coreProperties>
</file>